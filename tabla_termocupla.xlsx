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s D\Documents\GitHub\ED3\"/>
    </mc:Choice>
  </mc:AlternateContent>
  <xr:revisionPtr revIDLastSave="0" documentId="13_ncr:1_{6F5263CC-C517-41A1-BC72-B3A4684C500D}" xr6:coauthVersionLast="47" xr6:coauthVersionMax="47" xr10:uidLastSave="{00000000-0000-0000-0000-000000000000}"/>
  <bookViews>
    <workbookView xWindow="2232" yWindow="2232" windowWidth="2304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1" l="1"/>
  <c r="C30" i="1" s="1"/>
  <c r="B31" i="1"/>
  <c r="C31" i="1" s="1"/>
  <c r="B32" i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B49" i="1"/>
  <c r="B29" i="1"/>
  <c r="C29" i="1" s="1"/>
  <c r="C32" i="1"/>
  <c r="C48" i="1"/>
  <c r="C49" i="1"/>
  <c r="C27" i="1"/>
</calcChain>
</file>

<file path=xl/sharedStrings.xml><?xml version="1.0" encoding="utf-8"?>
<sst xmlns="http://schemas.openxmlformats.org/spreadsheetml/2006/main" count="6" uniqueCount="5">
  <si>
    <t>Temp (°C)</t>
  </si>
  <si>
    <t>Rs (ohms)</t>
  </si>
  <si>
    <t>Si fijamos una resistencia de 47 Ohms</t>
  </si>
  <si>
    <t>Voltaje (V)</t>
  </si>
  <si>
    <t>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</si>
</sst>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Resistencia vs Temperatura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Temperatura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Sheet1!$A$2:$A$22</c:f>
              <c:numCache>
                <c:formatCode>General</c:formatCode>
                <c:ptCount val="21"/>
                <c:pt idx="0">
                  <c:v>27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</c:numCache>
            </c:numRef>
          </c:cat>
          <c:val>
            <c:numRef>
              <c:f>Sheet1!$A$2:$A$22</c:f>
              <c:numCache>
                <c:formatCode>General</c:formatCode>
                <c:ptCount val="21"/>
                <c:pt idx="0">
                  <c:v>27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2-4B44-B43F-CE8FDB02A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856096"/>
        <c:axId val="1321436208"/>
      </c:lineChart>
      <c:catAx>
        <c:axId val="114685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Grados</a:t>
                </a:r>
                <a:r>
                  <a:rPr lang="es-CO" baseline="0"/>
                  <a:t> (°C)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1436208"/>
        <c:crosses val="autoZero"/>
        <c:auto val="1"/>
        <c:lblAlgn val="ctr"/>
        <c:lblOffset val="100"/>
        <c:noMultiLvlLbl val="0"/>
      </c:catAx>
      <c:valAx>
        <c:axId val="132143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Resistencia</a:t>
                </a:r>
                <a:r>
                  <a:rPr lang="es-CO" baseline="0"/>
                  <a:t> (Ohms)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685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Voltaje</a:t>
            </a:r>
            <a:r>
              <a:rPr lang="es-CO" baseline="0"/>
              <a:t> vs Temperatura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Sheet1!$A$29:$A$49</c:f>
              <c:numCache>
                <c:formatCode>General</c:formatCode>
                <c:ptCount val="21"/>
                <c:pt idx="0">
                  <c:v>27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</c:numCache>
            </c:numRef>
          </c:cat>
          <c:val>
            <c:numRef>
              <c:f>Sheet1!$B$29:$B$49</c:f>
              <c:numCache>
                <c:formatCode>General</c:formatCode>
                <c:ptCount val="21"/>
                <c:pt idx="0">
                  <c:v>0.84430000000000005</c:v>
                </c:pt>
                <c:pt idx="1">
                  <c:v>0.94420000000000004</c:v>
                </c:pt>
                <c:pt idx="2">
                  <c:v>1.0728</c:v>
                </c:pt>
                <c:pt idx="3">
                  <c:v>1.1637</c:v>
                </c:pt>
                <c:pt idx="4">
                  <c:v>1.2717000000000001</c:v>
                </c:pt>
                <c:pt idx="5">
                  <c:v>1.3568</c:v>
                </c:pt>
                <c:pt idx="6">
                  <c:v>1.4263999999999999</c:v>
                </c:pt>
                <c:pt idx="7">
                  <c:v>1.5422</c:v>
                </c:pt>
                <c:pt idx="8">
                  <c:v>1.6592</c:v>
                </c:pt>
                <c:pt idx="9">
                  <c:v>1.7625999999999999</c:v>
                </c:pt>
                <c:pt idx="10">
                  <c:v>1.8827</c:v>
                </c:pt>
                <c:pt idx="11">
                  <c:v>1.9574</c:v>
                </c:pt>
                <c:pt idx="12">
                  <c:v>2.0668000000000002</c:v>
                </c:pt>
                <c:pt idx="13">
                  <c:v>2.2019000000000002</c:v>
                </c:pt>
                <c:pt idx="14">
                  <c:v>2.2967</c:v>
                </c:pt>
                <c:pt idx="15">
                  <c:v>2.3889999999999998</c:v>
                </c:pt>
                <c:pt idx="16">
                  <c:v>2.4861</c:v>
                </c:pt>
                <c:pt idx="17">
                  <c:v>2.6612</c:v>
                </c:pt>
                <c:pt idx="18">
                  <c:v>2.8149999999999999</c:v>
                </c:pt>
                <c:pt idx="19">
                  <c:v>2.8929</c:v>
                </c:pt>
                <c:pt idx="20">
                  <c:v>3.0163000000000002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F-4682-9A6A-55A0F9918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813296"/>
        <c:axId val="986815696"/>
      </c:lineChart>
      <c:catAx>
        <c:axId val="98681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Grados</a:t>
                </a:r>
                <a:r>
                  <a:rPr lang="es-CO" baseline="0"/>
                  <a:t> (°C)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6815696"/>
        <c:crosses val="autoZero"/>
        <c:auto val="1"/>
        <c:lblAlgn val="ctr"/>
        <c:lblOffset val="100"/>
        <c:noMultiLvlLbl val="0"/>
      </c:catAx>
      <c:valAx>
        <c:axId val="9868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Voltaje</a:t>
                </a:r>
                <a:r>
                  <a:rPr lang="es-CO" baseline="0"/>
                  <a:t> (V)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8681329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ADC vs Temperatura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Sheet1!$A$29:$A$49</c:f>
              <c:numCache>
                <c:formatCode>General</c:formatCode>
                <c:ptCount val="21"/>
                <c:pt idx="0">
                  <c:v>27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  <c:pt idx="10">
                  <c:v>275</c:v>
                </c:pt>
                <c:pt idx="11">
                  <c:v>300</c:v>
                </c:pt>
                <c:pt idx="12">
                  <c:v>325</c:v>
                </c:pt>
                <c:pt idx="13">
                  <c:v>350</c:v>
                </c:pt>
                <c:pt idx="14">
                  <c:v>375</c:v>
                </c:pt>
                <c:pt idx="15">
                  <c:v>400</c:v>
                </c:pt>
                <c:pt idx="16">
                  <c:v>425</c:v>
                </c:pt>
                <c:pt idx="17">
                  <c:v>450</c:v>
                </c:pt>
                <c:pt idx="18">
                  <c:v>475</c:v>
                </c:pt>
                <c:pt idx="19">
                  <c:v>500</c:v>
                </c:pt>
                <c:pt idx="20">
                  <c:v>525</c:v>
                </c:pt>
              </c:numCache>
            </c:numRef>
          </c:cat>
          <c:val>
            <c:numRef>
              <c:f>Sheet1!$C$29:$C$49</c:f>
              <c:numCache>
                <c:formatCode>General</c:formatCode>
                <c:ptCount val="21"/>
                <c:pt idx="0">
                  <c:v>1048</c:v>
                </c:pt>
                <c:pt idx="1">
                  <c:v>1172</c:v>
                </c:pt>
                <c:pt idx="2">
                  <c:v>1331</c:v>
                </c:pt>
                <c:pt idx="3">
                  <c:v>1444</c:v>
                </c:pt>
                <c:pt idx="4">
                  <c:v>1578</c:v>
                </c:pt>
                <c:pt idx="5">
                  <c:v>1684</c:v>
                </c:pt>
                <c:pt idx="6">
                  <c:v>1770</c:v>
                </c:pt>
                <c:pt idx="7">
                  <c:v>1914</c:v>
                </c:pt>
                <c:pt idx="8">
                  <c:v>2059</c:v>
                </c:pt>
                <c:pt idx="9">
                  <c:v>2187</c:v>
                </c:pt>
                <c:pt idx="10">
                  <c:v>2336</c:v>
                </c:pt>
                <c:pt idx="11">
                  <c:v>2429</c:v>
                </c:pt>
                <c:pt idx="12">
                  <c:v>2565</c:v>
                </c:pt>
                <c:pt idx="13">
                  <c:v>2732</c:v>
                </c:pt>
                <c:pt idx="14">
                  <c:v>2850</c:v>
                </c:pt>
                <c:pt idx="15">
                  <c:v>2965</c:v>
                </c:pt>
                <c:pt idx="16">
                  <c:v>3085</c:v>
                </c:pt>
                <c:pt idx="17">
                  <c:v>3302</c:v>
                </c:pt>
                <c:pt idx="18">
                  <c:v>3493</c:v>
                </c:pt>
                <c:pt idx="19">
                  <c:v>3590</c:v>
                </c:pt>
                <c:pt idx="20">
                  <c:v>3743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64-4763-8928-28E5E3CC0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146064"/>
        <c:axId val="1423144624"/>
      </c:lineChart>
      <c:catAx>
        <c:axId val="142314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Grados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144624"/>
        <c:crosses val="autoZero"/>
        <c:auto val="1"/>
        <c:lblAlgn val="ctr"/>
        <c:lblOffset val="100"/>
        <c:noMultiLvlLbl val="0"/>
      </c:catAx>
      <c:valAx>
        <c:axId val="142314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ADC 2^12 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1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30480</xdr:rowOff>
    </xdr:from>
    <xdr:to>
      <xdr:col>15</xdr:col>
      <xdr:colOff>38100</xdr:colOff>
      <xdr:row>20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E87817-95BC-5843-D839-D8891B297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68580</xdr:colOff>
      <xdr:row>25</xdr:row>
      <xdr:rowOff>175260</xdr:rowOff>
    </xdr:from>
    <xdr:to>
      <xdr:col>14</xdr:col>
      <xdr:colOff>76200</xdr:colOff>
      <xdr:row>43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9F8EB5-0242-4F55-02F9-7FDCEE391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198120</xdr:colOff>
      <xdr:row>26</xdr:row>
      <xdr:rowOff>15240</xdr:rowOff>
    </xdr:from>
    <xdr:to>
      <xdr:col>25</xdr:col>
      <xdr:colOff>327660</xdr:colOff>
      <xdr:row>43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D8AC312-568D-4684-AD84-4FE536F9B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4" workbookViewId="0">
      <selection activeCell="B36" sqref="B36"/>
    </sheetView>
  </sheetViews>
  <sheetFormatPr baseColWidth="10" defaultColWidth="8.88671875" defaultRowHeight="14.4" x14ac:dyDescent="0.3"/>
  <cols>
    <col min="1" max="1" width="10.6640625" customWidth="1"/>
    <col min="2" max="2" width="11" customWidth="1"/>
    <col min="3" max="3" width="1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27</v>
      </c>
      <c r="B2">
        <v>53.93</v>
      </c>
    </row>
    <row r="3" spans="1:2" x14ac:dyDescent="0.3">
      <c r="A3">
        <v>50</v>
      </c>
      <c r="B3">
        <v>60.7</v>
      </c>
    </row>
    <row r="4" spans="1:2" x14ac:dyDescent="0.3">
      <c r="A4">
        <v>75</v>
      </c>
      <c r="B4">
        <v>69.540000000000006</v>
      </c>
    </row>
    <row r="5" spans="1:2" x14ac:dyDescent="0.3">
      <c r="A5">
        <v>100</v>
      </c>
      <c r="B5">
        <v>75.88</v>
      </c>
    </row>
    <row r="6" spans="1:2" x14ac:dyDescent="0.3">
      <c r="A6">
        <v>125</v>
      </c>
      <c r="B6">
        <v>83.51</v>
      </c>
    </row>
    <row r="7" spans="1:2" x14ac:dyDescent="0.3">
      <c r="A7">
        <v>150</v>
      </c>
      <c r="B7">
        <v>89.6</v>
      </c>
    </row>
    <row r="8" spans="1:2" x14ac:dyDescent="0.3">
      <c r="A8">
        <v>175</v>
      </c>
      <c r="B8">
        <v>94.63</v>
      </c>
    </row>
    <row r="9" spans="1:2" x14ac:dyDescent="0.3">
      <c r="A9">
        <v>200</v>
      </c>
      <c r="B9">
        <v>103.1</v>
      </c>
    </row>
    <row r="10" spans="1:2" x14ac:dyDescent="0.3">
      <c r="A10">
        <v>225</v>
      </c>
      <c r="B10">
        <v>111.8</v>
      </c>
    </row>
    <row r="11" spans="1:2" x14ac:dyDescent="0.3">
      <c r="A11">
        <v>250</v>
      </c>
      <c r="B11">
        <v>119.6</v>
      </c>
    </row>
    <row r="12" spans="1:2" x14ac:dyDescent="0.3">
      <c r="A12">
        <v>275</v>
      </c>
      <c r="B12">
        <v>128.80000000000001</v>
      </c>
    </row>
    <row r="13" spans="1:2" x14ac:dyDescent="0.3">
      <c r="A13">
        <v>300</v>
      </c>
      <c r="B13">
        <v>134.6</v>
      </c>
    </row>
    <row r="14" spans="1:2" x14ac:dyDescent="0.3">
      <c r="A14">
        <v>325</v>
      </c>
      <c r="B14">
        <v>143.19999999999999</v>
      </c>
    </row>
    <row r="15" spans="1:2" x14ac:dyDescent="0.3">
      <c r="A15">
        <v>350</v>
      </c>
      <c r="B15">
        <v>154</v>
      </c>
    </row>
    <row r="16" spans="1:2" x14ac:dyDescent="0.3">
      <c r="A16">
        <v>375</v>
      </c>
      <c r="B16">
        <v>161.69999999999999</v>
      </c>
    </row>
    <row r="17" spans="1:4" x14ac:dyDescent="0.3">
      <c r="A17">
        <v>400</v>
      </c>
      <c r="B17">
        <v>169.3</v>
      </c>
    </row>
    <row r="18" spans="1:4" x14ac:dyDescent="0.3">
      <c r="A18">
        <v>425</v>
      </c>
      <c r="B18">
        <v>177.4</v>
      </c>
    </row>
    <row r="19" spans="1:4" x14ac:dyDescent="0.3">
      <c r="A19">
        <v>450</v>
      </c>
      <c r="B19">
        <v>192.3</v>
      </c>
    </row>
    <row r="20" spans="1:4" x14ac:dyDescent="0.3">
      <c r="A20">
        <v>475</v>
      </c>
      <c r="B20">
        <v>205.7</v>
      </c>
    </row>
    <row r="21" spans="1:4" x14ac:dyDescent="0.3">
      <c r="A21">
        <v>500</v>
      </c>
      <c r="B21">
        <v>212.6</v>
      </c>
    </row>
    <row r="22" spans="1:4" x14ac:dyDescent="0.3">
      <c r="A22">
        <v>525</v>
      </c>
      <c r="B22">
        <v>223.7</v>
      </c>
    </row>
    <row r="26" spans="1:4" x14ac:dyDescent="0.3">
      <c r="A26" s="3" t="s">
        <v>2</v>
      </c>
      <c r="B26" s="3"/>
      <c r="C26" s="3"/>
    </row>
    <row r="27" spans="1:4" x14ac:dyDescent="0.3">
      <c r="A27">
        <v>3.3</v>
      </c>
      <c r="B27">
        <v>1000</v>
      </c>
      <c r="C27">
        <f>2^12-1</f>
        <v>4095</v>
      </c>
      <c r="D27">
        <v>5</v>
      </c>
    </row>
    <row r="28" spans="1:4" x14ac:dyDescent="0.3">
      <c r="A28" s="1" t="s">
        <v>0</v>
      </c>
      <c r="B28" s="2" t="s">
        <v>3</v>
      </c>
      <c r="C28" s="2" t="s">
        <v>4</v>
      </c>
    </row>
    <row r="29" spans="1:4" x14ac:dyDescent="0.3">
      <c r="A29">
        <v>27</v>
      </c>
      <c r="B29">
        <f>ROUND((B2/($B$27+B2))*$A$27*$D$27,4)</f>
        <v>0.84430000000000005</v>
      </c>
      <c r="C29">
        <f>ROUND(($B29/$A$27)*$C$27,0)</f>
        <v>1048</v>
      </c>
    </row>
    <row r="30" spans="1:4" x14ac:dyDescent="0.3">
      <c r="A30">
        <v>50</v>
      </c>
      <c r="B30">
        <f t="shared" ref="B30:B49" si="0">ROUND((B3/($B$27+B3))*$A$27*$D$27,4)</f>
        <v>0.94420000000000004</v>
      </c>
      <c r="C30">
        <f t="shared" ref="C30:C49" si="1">ROUND(($B30/$A$27)*$C$27,0)</f>
        <v>1172</v>
      </c>
    </row>
    <row r="31" spans="1:4" x14ac:dyDescent="0.3">
      <c r="A31">
        <v>75</v>
      </c>
      <c r="B31">
        <f t="shared" si="0"/>
        <v>1.0728</v>
      </c>
      <c r="C31">
        <f t="shared" si="1"/>
        <v>1331</v>
      </c>
    </row>
    <row r="32" spans="1:4" x14ac:dyDescent="0.3">
      <c r="A32">
        <v>100</v>
      </c>
      <c r="B32">
        <f t="shared" si="0"/>
        <v>1.1637</v>
      </c>
      <c r="C32">
        <f t="shared" si="1"/>
        <v>1444</v>
      </c>
    </row>
    <row r="33" spans="1:3" x14ac:dyDescent="0.3">
      <c r="A33">
        <v>125</v>
      </c>
      <c r="B33">
        <f t="shared" si="0"/>
        <v>1.2717000000000001</v>
      </c>
      <c r="C33">
        <f t="shared" si="1"/>
        <v>1578</v>
      </c>
    </row>
    <row r="34" spans="1:3" x14ac:dyDescent="0.3">
      <c r="A34">
        <v>150</v>
      </c>
      <c r="B34">
        <f t="shared" si="0"/>
        <v>1.3568</v>
      </c>
      <c r="C34">
        <f t="shared" si="1"/>
        <v>1684</v>
      </c>
    </row>
    <row r="35" spans="1:3" x14ac:dyDescent="0.3">
      <c r="A35">
        <v>175</v>
      </c>
      <c r="B35">
        <f t="shared" si="0"/>
        <v>1.4263999999999999</v>
      </c>
      <c r="C35">
        <f t="shared" si="1"/>
        <v>1770</v>
      </c>
    </row>
    <row r="36" spans="1:3" x14ac:dyDescent="0.3">
      <c r="A36">
        <v>200</v>
      </c>
      <c r="B36">
        <f t="shared" si="0"/>
        <v>1.5422</v>
      </c>
      <c r="C36">
        <f t="shared" si="1"/>
        <v>1914</v>
      </c>
    </row>
    <row r="37" spans="1:3" x14ac:dyDescent="0.3">
      <c r="A37">
        <v>225</v>
      </c>
      <c r="B37">
        <f t="shared" si="0"/>
        <v>1.6592</v>
      </c>
      <c r="C37">
        <f t="shared" si="1"/>
        <v>2059</v>
      </c>
    </row>
    <row r="38" spans="1:3" x14ac:dyDescent="0.3">
      <c r="A38">
        <v>250</v>
      </c>
      <c r="B38">
        <f t="shared" si="0"/>
        <v>1.7625999999999999</v>
      </c>
      <c r="C38">
        <f t="shared" si="1"/>
        <v>2187</v>
      </c>
    </row>
    <row r="39" spans="1:3" x14ac:dyDescent="0.3">
      <c r="A39">
        <v>275</v>
      </c>
      <c r="B39">
        <f t="shared" si="0"/>
        <v>1.8827</v>
      </c>
      <c r="C39">
        <f t="shared" si="1"/>
        <v>2336</v>
      </c>
    </row>
    <row r="40" spans="1:3" x14ac:dyDescent="0.3">
      <c r="A40">
        <v>300</v>
      </c>
      <c r="B40">
        <f t="shared" si="0"/>
        <v>1.9574</v>
      </c>
      <c r="C40">
        <f t="shared" si="1"/>
        <v>2429</v>
      </c>
    </row>
    <row r="41" spans="1:3" x14ac:dyDescent="0.3">
      <c r="A41">
        <v>325</v>
      </c>
      <c r="B41">
        <f t="shared" si="0"/>
        <v>2.0668000000000002</v>
      </c>
      <c r="C41">
        <f t="shared" si="1"/>
        <v>2565</v>
      </c>
    </row>
    <row r="42" spans="1:3" x14ac:dyDescent="0.3">
      <c r="A42">
        <v>350</v>
      </c>
      <c r="B42">
        <f t="shared" si="0"/>
        <v>2.2019000000000002</v>
      </c>
      <c r="C42">
        <f t="shared" si="1"/>
        <v>2732</v>
      </c>
    </row>
    <row r="43" spans="1:3" x14ac:dyDescent="0.3">
      <c r="A43">
        <v>375</v>
      </c>
      <c r="B43">
        <f t="shared" si="0"/>
        <v>2.2967</v>
      </c>
      <c r="C43">
        <f t="shared" si="1"/>
        <v>2850</v>
      </c>
    </row>
    <row r="44" spans="1:3" x14ac:dyDescent="0.3">
      <c r="A44">
        <v>400</v>
      </c>
      <c r="B44">
        <f t="shared" si="0"/>
        <v>2.3889999999999998</v>
      </c>
      <c r="C44">
        <f t="shared" si="1"/>
        <v>2965</v>
      </c>
    </row>
    <row r="45" spans="1:3" x14ac:dyDescent="0.3">
      <c r="A45">
        <v>425</v>
      </c>
      <c r="B45">
        <f t="shared" si="0"/>
        <v>2.4861</v>
      </c>
      <c r="C45">
        <f t="shared" si="1"/>
        <v>3085</v>
      </c>
    </row>
    <row r="46" spans="1:3" x14ac:dyDescent="0.3">
      <c r="A46">
        <v>450</v>
      </c>
      <c r="B46">
        <f t="shared" si="0"/>
        <v>2.6612</v>
      </c>
      <c r="C46">
        <f t="shared" si="1"/>
        <v>3302</v>
      </c>
    </row>
    <row r="47" spans="1:3" x14ac:dyDescent="0.3">
      <c r="A47">
        <v>475</v>
      </c>
      <c r="B47">
        <f t="shared" si="0"/>
        <v>2.8149999999999999</v>
      </c>
      <c r="C47">
        <f t="shared" si="1"/>
        <v>3493</v>
      </c>
    </row>
    <row r="48" spans="1:3" x14ac:dyDescent="0.3">
      <c r="A48">
        <v>500</v>
      </c>
      <c r="B48">
        <f t="shared" si="0"/>
        <v>2.8929</v>
      </c>
      <c r="C48">
        <f t="shared" si="1"/>
        <v>3590</v>
      </c>
    </row>
    <row r="49" spans="1:3" x14ac:dyDescent="0.3">
      <c r="A49">
        <v>525</v>
      </c>
      <c r="B49">
        <f t="shared" si="0"/>
        <v>3.0163000000000002</v>
      </c>
      <c r="C49">
        <f t="shared" si="1"/>
        <v>3743</v>
      </c>
    </row>
  </sheetData>
  <mergeCells count="1">
    <mergeCell ref="A26:C26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David</cp:lastModifiedBy>
  <dcterms:created xsi:type="dcterms:W3CDTF">2025-12-10T00:15:24Z</dcterms:created>
  <dcterms:modified xsi:type="dcterms:W3CDTF">2025-12-11T02:57:55Z</dcterms:modified>
</cp:coreProperties>
</file>